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409]mmm/yy"/>
    <numFmt numFmtId="165" formatCode="_ * #,##0_ ;_ * \-#,##0_ ;_ * &quot;-&quot;??_ ;_ @_ "/>
    <numFmt numFmtId="166" formatCode="[$-409]d/mmm/yy"/>
  </numFmts>
  <fonts count="5">
    <font>
      <name val="Calibri"/>
      <color theme="1"/>
      <sz val="11"/>
      <scheme val="minor"/>
    </font>
    <font>
      <name val="Book Antiqua"/>
      <color theme="1"/>
      <sz val="10"/>
    </font>
    <font>
      <name val="Book Antiqua"/>
      <b val="1"/>
      <color theme="0"/>
      <sz val="10"/>
    </font>
    <font>
      <name val="Book Antiqua"/>
      <b val="1"/>
      <color rgb="FFFFFFFF"/>
      <sz val="10"/>
    </font>
    <font>
      <name val="Book Antiqua"/>
      <b val="1"/>
      <color theme="1"/>
      <sz val="10"/>
    </font>
  </fonts>
  <fills count="5">
    <fill>
      <patternFill/>
    </fill>
    <fill>
      <patternFill patternType="lightGray"/>
    </fill>
    <fill>
      <patternFill patternType="solid">
        <fgColor rgb="FFFFF2CB"/>
        <bgColor rgb="FFFFF2CB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14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ADB"/>
      </bottom>
    </border>
    <border>
      <left style="thin">
        <color rgb="FF000000"/>
      </left>
      <right style="thin">
        <color rgb="FF000000"/>
      </right>
      <top/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1" pivotButton="0" quotePrefix="0" xfId="0"/>
    <xf numFmtId="0" fontId="1" fillId="2" borderId="2" pivotButton="0" quotePrefix="0" xfId="0"/>
    <xf numFmtId="164" fontId="1" fillId="2" borderId="3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0" borderId="6" pivotButton="0" quotePrefix="0" xfId="0"/>
    <xf numFmtId="0" fontId="1" fillId="2" borderId="7" applyAlignment="1" pivotButton="0" quotePrefix="0" xfId="0">
      <alignment horizontal="center"/>
    </xf>
    <xf numFmtId="0" fontId="1" fillId="2" borderId="8" pivotButton="0" quotePrefix="0" xfId="0"/>
    <xf numFmtId="0" fontId="1" fillId="2" borderId="8" pivotButton="0" quotePrefix="0" xfId="0"/>
    <xf numFmtId="0" fontId="1" fillId="2" borderId="9" pivotButton="0" quotePrefix="0" xfId="0"/>
    <xf numFmtId="9" fontId="2" fillId="3" borderId="10" applyAlignment="1" pivotButton="0" quotePrefix="0" xfId="0">
      <alignment horizontal="center" vertical="center" wrapText="1"/>
    </xf>
    <xf numFmtId="9" fontId="2" fillId="3" borderId="11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1" fontId="1" fillId="0" borderId="12" applyAlignment="1" pivotButton="0" quotePrefix="0" xfId="0">
      <alignment horizontal="center"/>
    </xf>
    <xf numFmtId="1" fontId="1" fillId="0" borderId="12" applyAlignment="1" pivotButton="0" quotePrefix="0" xfId="0">
      <alignment horizontal="center"/>
    </xf>
    <xf numFmtId="165" fontId="1" fillId="0" borderId="12" applyAlignment="1" pivotButton="0" quotePrefix="0" xfId="0">
      <alignment horizontal="center"/>
    </xf>
    <xf numFmtId="166" fontId="1" fillId="0" borderId="12" applyAlignment="1" pivotButton="0" quotePrefix="0" xfId="0">
      <alignment horizontal="center"/>
    </xf>
    <xf numFmtId="0" fontId="4" fillId="4" borderId="13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.57" customWidth="1" style="23" min="1" max="1"/>
    <col width="31.14" customWidth="1" style="23" min="2" max="4"/>
    <col width="22.14" customWidth="1" style="23" min="5" max="8"/>
    <col width="12.71" customWidth="1" style="23" min="9" max="9"/>
    <col width="16.29" customWidth="1" style="23" min="10" max="10"/>
    <col width="12.14" customWidth="1" style="23" min="11" max="13"/>
    <col width="13.71" customWidth="1" style="23" min="14" max="15"/>
    <col width="17.71" customWidth="1" style="23" min="16" max="16"/>
    <col width="39" customWidth="1" style="23" min="17" max="17"/>
    <col width="8.710000000000001" customWidth="1" style="23" min="18" max="26"/>
  </cols>
  <sheetData>
    <row r="1" ht="13.5" customHeight="1" s="2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3">
      <c r="A2" s="1" t="n"/>
      <c r="B2" s="2" t="inlineStr">
        <is>
          <t>Vendor Name</t>
        </is>
      </c>
      <c r="C2" s="3" t="inlineStr">
        <is>
          <t>Attendance Month</t>
        </is>
      </c>
      <c r="D2" s="4" t="n">
        <v>46174</v>
      </c>
      <c r="E2" s="5" t="n"/>
      <c r="F2" s="6" t="n"/>
      <c r="G2" s="6" t="n"/>
      <c r="H2" s="5" t="n"/>
      <c r="I2" s="5" t="n"/>
      <c r="J2" s="7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23">
      <c r="A3" s="1" t="n"/>
      <c r="B3" s="8" t="inlineStr">
        <is>
          <t>Service Period</t>
        </is>
      </c>
      <c r="C3" s="9" t="inlineStr">
        <is>
          <t>1st  June</t>
        </is>
      </c>
      <c r="D3" s="11" t="inlineStr">
        <is>
          <t>30th June</t>
        </is>
      </c>
      <c r="E3" s="11" t="n"/>
      <c r="F3" s="6" t="n"/>
      <c r="G3" s="6" t="n"/>
      <c r="H3" s="11" t="n"/>
      <c r="I3" s="11" t="n"/>
      <c r="J3" s="12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23">
      <c r="A4" s="1" t="n"/>
      <c r="B4" s="13" t="inlineStr">
        <is>
          <t>Resource Name</t>
        </is>
      </c>
      <c r="C4" s="14" t="inlineStr">
        <is>
          <t>Manager Name</t>
        </is>
      </c>
      <c r="D4" s="14" t="inlineStr">
        <is>
          <t>Vendor ID</t>
        </is>
      </c>
      <c r="E4" s="14" t="inlineStr">
        <is>
          <t>Role</t>
        </is>
      </c>
      <c r="F4" s="14" t="inlineStr">
        <is>
          <t>Total Leave</t>
        </is>
      </c>
      <c r="G4" s="14" t="inlineStr">
        <is>
          <t>Leave taken till date</t>
        </is>
      </c>
      <c r="H4" s="14" t="inlineStr">
        <is>
          <t>Balance Leave</t>
        </is>
      </c>
      <c r="I4" s="14" t="inlineStr">
        <is>
          <t>Monthly Charges</t>
        </is>
      </c>
      <c r="J4" s="14" t="inlineStr">
        <is>
          <t>Total Billing Days</t>
        </is>
      </c>
      <c r="K4" s="14" t="inlineStr">
        <is>
          <t>Leave Taken monthly</t>
        </is>
      </c>
      <c r="L4" s="14" t="inlineStr">
        <is>
          <t>Holiday</t>
        </is>
      </c>
      <c r="M4" s="14" t="inlineStr">
        <is>
          <t>Week Off</t>
        </is>
      </c>
      <c r="N4" s="15" t="inlineStr">
        <is>
          <t>Days Present</t>
        </is>
      </c>
      <c r="O4" s="14" t="inlineStr">
        <is>
          <t>Billing Days</t>
        </is>
      </c>
      <c r="P4" s="14" t="inlineStr">
        <is>
          <t>Billing Amount</t>
        </is>
      </c>
      <c r="Q4" s="14" t="inlineStr">
        <is>
          <t>PO Number</t>
        </is>
      </c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23">
      <c r="A5" s="1" t="n"/>
      <c r="B5" s="17" t="inlineStr">
        <is>
          <t>Rahul Desai</t>
        </is>
      </c>
      <c r="C5" s="17" t="inlineStr">
        <is>
          <t>Sourav Thakur</t>
        </is>
      </c>
      <c r="D5" s="17" t="inlineStr">
        <is>
          <t>TE000004</t>
        </is>
      </c>
      <c r="E5" s="17" t="inlineStr">
        <is>
          <t>AI Product Manager</t>
        </is>
      </c>
      <c r="F5" s="17" t="n">
        <v>24</v>
      </c>
      <c r="G5" s="17" t="n">
        <v>3</v>
      </c>
      <c r="H5" s="17">
        <f>F5-G5</f>
        <v/>
      </c>
      <c r="I5" s="19" t="n">
        <v>100000</v>
      </c>
      <c r="J5" s="19" t="n">
        <v>30</v>
      </c>
      <c r="K5" s="17" t="n">
        <v>0</v>
      </c>
      <c r="L5" s="17" t="n">
        <v>0</v>
      </c>
      <c r="M5" s="17" t="n">
        <v>8</v>
      </c>
      <c r="N5" s="19" t="n">
        <v>22</v>
      </c>
      <c r="O5" s="19">
        <f>K5+L5+M5+N5</f>
        <v/>
      </c>
      <c r="P5" s="17">
        <f>I5/J5*O5</f>
        <v/>
      </c>
      <c r="Q5" s="17" t="inlineStr">
        <is>
          <t>LTFG/PO/202627/A330/82/IS47866/26149</t>
        </is>
      </c>
      <c r="R5" s="17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23">
      <c r="A6" s="1" t="n"/>
      <c r="B6" s="17" t="n"/>
      <c r="C6" s="17" t="n"/>
      <c r="D6" s="17" t="n"/>
      <c r="E6" s="17" t="n"/>
      <c r="F6" s="17" t="n"/>
      <c r="G6" s="17" t="n"/>
      <c r="H6" s="17" t="n"/>
      <c r="I6" s="19" t="n"/>
      <c r="J6" s="19" t="n"/>
      <c r="K6" s="17" t="n"/>
      <c r="L6" s="17" t="n"/>
      <c r="M6" s="17" t="n"/>
      <c r="N6" s="19" t="n"/>
      <c r="O6" s="19" t="n"/>
      <c r="P6" s="17" t="n"/>
      <c r="Q6" s="17" t="n"/>
      <c r="R6" s="17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23">
      <c r="A7" s="1" t="n"/>
      <c r="B7" s="17" t="n"/>
      <c r="C7" s="17" t="n"/>
      <c r="D7" s="17" t="n"/>
      <c r="E7" s="17" t="n"/>
      <c r="F7" s="17" t="n"/>
      <c r="G7" s="17" t="n"/>
      <c r="H7" s="17" t="n"/>
      <c r="I7" s="19" t="n"/>
      <c r="J7" s="19" t="n"/>
      <c r="K7" s="17" t="n"/>
      <c r="L7" s="17" t="n"/>
      <c r="M7" s="17" t="n"/>
      <c r="N7" s="19" t="n"/>
      <c r="O7" s="19" t="n"/>
      <c r="P7" s="17" t="n"/>
      <c r="Q7" s="17" t="n"/>
      <c r="R7" s="17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23">
      <c r="A8" s="1" t="n"/>
      <c r="B8" s="17" t="n"/>
      <c r="C8" s="17" t="n"/>
      <c r="D8" s="17" t="n"/>
      <c r="E8" s="17" t="n"/>
      <c r="F8" s="17" t="n"/>
      <c r="G8" s="17" t="n"/>
      <c r="H8" s="17" t="n"/>
      <c r="I8" s="19" t="n"/>
      <c r="J8" s="19" t="n"/>
      <c r="K8" s="17" t="n"/>
      <c r="L8" s="17" t="n"/>
      <c r="M8" s="17" t="n"/>
      <c r="N8" s="19" t="n"/>
      <c r="O8" s="19" t="n"/>
      <c r="P8" s="17" t="n"/>
      <c r="Q8" s="17" t="n"/>
      <c r="R8" s="17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23">
      <c r="A9" s="1" t="n"/>
      <c r="B9" s="17" t="n"/>
      <c r="C9" s="17" t="n"/>
      <c r="D9" s="17" t="n"/>
      <c r="E9" s="17" t="n"/>
      <c r="F9" s="17" t="n"/>
      <c r="G9" s="17" t="n"/>
      <c r="H9" s="17" t="n"/>
      <c r="I9" s="19" t="n"/>
      <c r="J9" s="19" t="n"/>
      <c r="K9" s="17" t="n"/>
      <c r="L9" s="17" t="n"/>
      <c r="M9" s="17" t="n"/>
      <c r="N9" s="19" t="n"/>
      <c r="O9" s="19" t="n"/>
      <c r="P9" s="17" t="n"/>
      <c r="Q9" s="17" t="n"/>
      <c r="R9" s="17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23">
      <c r="A10" s="1" t="n"/>
      <c r="B10" s="17" t="n"/>
      <c r="C10" s="17" t="n"/>
      <c r="D10" s="17" t="n"/>
      <c r="E10" s="17" t="n"/>
      <c r="F10" s="17" t="n"/>
      <c r="G10" s="17" t="n"/>
      <c r="H10" s="17" t="n"/>
      <c r="I10" s="19" t="n"/>
      <c r="J10" s="19" t="n"/>
      <c r="K10" s="17" t="n"/>
      <c r="L10" s="17" t="n"/>
      <c r="M10" s="17" t="n"/>
      <c r="N10" s="19" t="n"/>
      <c r="O10" s="19" t="n"/>
      <c r="P10" s="17" t="n"/>
      <c r="Q10" s="17" t="n"/>
      <c r="R10" s="17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23">
      <c r="A11" s="1" t="n"/>
      <c r="B11" s="17" t="n"/>
      <c r="C11" s="17" t="n"/>
      <c r="D11" s="17" t="n"/>
      <c r="E11" s="17" t="n"/>
      <c r="F11" s="17" t="n"/>
      <c r="G11" s="17" t="n"/>
      <c r="H11" s="17" t="n"/>
      <c r="I11" s="19" t="n"/>
      <c r="J11" s="19" t="n"/>
      <c r="K11" s="17" t="n"/>
      <c r="L11" s="17" t="n"/>
      <c r="M11" s="17" t="n"/>
      <c r="N11" s="19" t="n"/>
      <c r="O11" s="19" t="n"/>
      <c r="P11" s="17" t="n"/>
      <c r="Q11" s="17" t="n"/>
      <c r="R11" s="17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23">
      <c r="A12" s="1" t="n"/>
      <c r="B12" s="17" t="n"/>
      <c r="C12" s="17" t="n"/>
      <c r="D12" s="17" t="n"/>
      <c r="E12" s="17" t="n"/>
      <c r="F12" s="17" t="n"/>
      <c r="G12" s="17" t="n"/>
      <c r="H12" s="17" t="n"/>
      <c r="I12" s="19" t="n"/>
      <c r="J12" s="19" t="n"/>
      <c r="K12" s="17" t="n"/>
      <c r="L12" s="17" t="n"/>
      <c r="M12" s="17" t="n"/>
      <c r="N12" s="19" t="n"/>
      <c r="O12" s="19" t="n"/>
      <c r="P12" s="17" t="n"/>
      <c r="Q12" s="17" t="n"/>
      <c r="R12" s="17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23">
      <c r="A13" s="1" t="n"/>
      <c r="B13" s="17" t="n"/>
      <c r="C13" s="17" t="n"/>
      <c r="D13" s="17" t="n"/>
      <c r="E13" s="17" t="n"/>
      <c r="F13" s="17" t="n"/>
      <c r="G13" s="17" t="n"/>
      <c r="H13" s="17" t="n"/>
      <c r="I13" s="19" t="n"/>
      <c r="J13" s="19" t="n"/>
      <c r="K13" s="17" t="n"/>
      <c r="L13" s="17" t="n"/>
      <c r="M13" s="17" t="n"/>
      <c r="N13" s="19" t="n"/>
      <c r="O13" s="19" t="n"/>
      <c r="P13" s="17" t="n"/>
      <c r="Q13" s="17" t="n"/>
      <c r="R13" s="17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23">
      <c r="A14" s="1" t="n"/>
      <c r="B14" s="17" t="n"/>
      <c r="C14" s="17" t="n"/>
      <c r="D14" s="17" t="n"/>
      <c r="E14" s="17" t="n"/>
      <c r="F14" s="17" t="n"/>
      <c r="G14" s="17" t="n"/>
      <c r="H14" s="17" t="n"/>
      <c r="I14" s="19" t="n"/>
      <c r="J14" s="19" t="n"/>
      <c r="K14" s="17" t="n"/>
      <c r="L14" s="17" t="n"/>
      <c r="M14" s="17" t="n"/>
      <c r="N14" s="19" t="n"/>
      <c r="O14" s="19" t="n"/>
      <c r="P14" s="17" t="n"/>
      <c r="Q14" s="17" t="n"/>
      <c r="R14" s="17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23">
      <c r="A15" s="1" t="n"/>
      <c r="B15" s="17" t="n"/>
      <c r="C15" s="17" t="n"/>
      <c r="D15" s="17" t="n"/>
      <c r="E15" s="17" t="n"/>
      <c r="F15" s="17" t="n"/>
      <c r="G15" s="17" t="n"/>
      <c r="H15" s="17" t="n"/>
      <c r="I15" s="19" t="n"/>
      <c r="J15" s="19" t="n"/>
      <c r="K15" s="17" t="n"/>
      <c r="L15" s="17" t="n"/>
      <c r="M15" s="17" t="n"/>
      <c r="N15" s="19" t="n"/>
      <c r="O15" s="19" t="n"/>
      <c r="P15" s="17" t="n"/>
      <c r="Q15" s="17" t="n"/>
      <c r="R15" s="17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23">
      <c r="A16" s="1" t="n"/>
      <c r="B16" s="17" t="n"/>
      <c r="C16" s="17" t="n"/>
      <c r="D16" s="17" t="n"/>
      <c r="E16" s="17" t="n"/>
      <c r="F16" s="17" t="n"/>
      <c r="G16" s="17" t="n"/>
      <c r="H16" s="17" t="n"/>
      <c r="I16" s="19" t="n"/>
      <c r="J16" s="19" t="n"/>
      <c r="K16" s="17" t="n"/>
      <c r="L16" s="17" t="n"/>
      <c r="M16" s="17" t="n"/>
      <c r="N16" s="19" t="n"/>
      <c r="O16" s="19" t="n"/>
      <c r="P16" s="17" t="n"/>
      <c r="Q16" s="17" t="n"/>
      <c r="R16" s="17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23">
      <c r="A17" s="1" t="n"/>
      <c r="B17" s="17" t="n"/>
      <c r="C17" s="17" t="n"/>
      <c r="D17" s="17" t="n"/>
      <c r="E17" s="17" t="n"/>
      <c r="F17" s="17" t="n"/>
      <c r="G17" s="17" t="n"/>
      <c r="H17" s="17" t="n"/>
      <c r="I17" s="19" t="n"/>
      <c r="J17" s="19" t="n"/>
      <c r="K17" s="17" t="n"/>
      <c r="L17" s="17" t="n"/>
      <c r="M17" s="17" t="n"/>
      <c r="N17" s="19" t="n"/>
      <c r="O17" s="19" t="n"/>
      <c r="P17" s="17" t="n"/>
      <c r="Q17" s="17" t="n"/>
      <c r="R17" s="17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23">
      <c r="A18" s="1" t="n"/>
      <c r="B18" s="17" t="n"/>
      <c r="C18" s="17" t="n"/>
      <c r="D18" s="17" t="n"/>
      <c r="E18" s="17" t="n"/>
      <c r="F18" s="17" t="n"/>
      <c r="G18" s="17" t="n"/>
      <c r="H18" s="17" t="n"/>
      <c r="I18" s="19" t="n"/>
      <c r="J18" s="19" t="n"/>
      <c r="K18" s="17" t="n"/>
      <c r="L18" s="17" t="n"/>
      <c r="M18" s="17" t="n"/>
      <c r="N18" s="19" t="n"/>
      <c r="O18" s="19" t="n"/>
      <c r="P18" s="17" t="n"/>
      <c r="Q18" s="17" t="n"/>
      <c r="R18" s="17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23">
      <c r="A19" s="1" t="n"/>
      <c r="B19" s="22" t="inlineStr">
        <is>
          <t>Total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>
        <f>SUM(P5:P18)</f>
        <v/>
      </c>
      <c r="Q19" s="22" t="n"/>
      <c r="R19" s="22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23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23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23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2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2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2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2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2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2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2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2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2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2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2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2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2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2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2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2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2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2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2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2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2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2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2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2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2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2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2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2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2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2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2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2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2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2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2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2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2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2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2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2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2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2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2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2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2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2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2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2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2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2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2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2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2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2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2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2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2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2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2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2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2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2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2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2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2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2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2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2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2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2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2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2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2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2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2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2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2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2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2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2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2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2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2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2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2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2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2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2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2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2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2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2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2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2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2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2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2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2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2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2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2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2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2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2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2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2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2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2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2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2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2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2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2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2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2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2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2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2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2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2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2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2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2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2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2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2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2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2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2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2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2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2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2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2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2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2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2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2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2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2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2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2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2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2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2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2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2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2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2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2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2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2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2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2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2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2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2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2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2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2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2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2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2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2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2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2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2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2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2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2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2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2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2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2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2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2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2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2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2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2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2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2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2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2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2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2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2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2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2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2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2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2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2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2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2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2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2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2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2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2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2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2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2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2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2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2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2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2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2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2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2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2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2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2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2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2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2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2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2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2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2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2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2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2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2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2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2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2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2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2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2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2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2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2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2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2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2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2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2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2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2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2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2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2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2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2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portrait"/>
  <headerFooter>
    <oddHeader>&amp;LFFCD1A INTERNAL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2026-10-15T09:33:36Z</dcterms:created>
  <dcterms:modified xmlns:dcterms="http://purl.org/dc/terms/" xmlns:xsi="http://www.w3.org/2001/XMLSchema-instance" xsi:type="dcterms:W3CDTF">2026-10-15T09:33:36Z</dcterms:modified>
</cp:coreProperties>
</file>